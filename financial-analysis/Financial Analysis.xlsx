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5"/>
  <workbookPr/>
  <mc:AlternateContent xmlns:mc="http://schemas.openxmlformats.org/markup-compatibility/2006">
    <mc:Choice Requires="x15">
      <x15ac:absPath xmlns:x15ac="http://schemas.microsoft.com/office/spreadsheetml/2010/11/ac" url="C:\Users\ryan\Desktop\الكلية\Third\313\Templates\Templates\"/>
    </mc:Choice>
  </mc:AlternateContent>
  <xr:revisionPtr revIDLastSave="0" documentId="8_{B4DFF4F6-7976-DA41-A90D-C7940FB5A3D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0" i="1"/>
  <c r="B18" i="1"/>
</calcChain>
</file>

<file path=xl/sharedStrings.xml><?xml version="1.0" encoding="utf-8"?>
<sst xmlns="http://schemas.openxmlformats.org/spreadsheetml/2006/main" count="66" uniqueCount="46">
  <si>
    <t>Discount rate</t>
  </si>
  <si>
    <t>Costs</t>
  </si>
  <si>
    <t>Discount factor</t>
  </si>
  <si>
    <t>Discounted costs</t>
  </si>
  <si>
    <t>Benefits</t>
  </si>
  <si>
    <t>Discounted benefits</t>
  </si>
  <si>
    <t>Discounted benefits - costs</t>
  </si>
  <si>
    <t>Cumulative benefits - costs</t>
  </si>
  <si>
    <t>Year</t>
  </si>
  <si>
    <t>NPV</t>
  </si>
  <si>
    <t>Total</t>
  </si>
  <si>
    <t>ROI</t>
  </si>
  <si>
    <t>Assume the project is completed in Year 0</t>
  </si>
  <si>
    <t>Assumptions</t>
  </si>
  <si>
    <t>Enter assumptions here</t>
  </si>
  <si>
    <t>Financial Analysis for Project Name</t>
  </si>
  <si>
    <t>Created by:</t>
  </si>
  <si>
    <t>Date:</t>
  </si>
  <si>
    <t>Payback in Year 1</t>
  </si>
  <si>
    <t>Note: Change the inputs, shown in green below (i.e. interest rate, number of years, costs, and benefits). Be sure to double-check the formulas based on the inputs.</t>
  </si>
  <si>
    <t xml:space="preserve">Dis rate </t>
  </si>
  <si>
    <t>project1</t>
  </si>
  <si>
    <t>Ben</t>
  </si>
  <si>
    <t>cost</t>
  </si>
  <si>
    <t>cash flow</t>
  </si>
  <si>
    <t>npv</t>
  </si>
  <si>
    <t>130,000</t>
  </si>
  <si>
    <t>150,000</t>
  </si>
  <si>
    <t>0,909</t>
  </si>
  <si>
    <t>0,826</t>
  </si>
  <si>
    <t>(130,000)</t>
  </si>
  <si>
    <t>0,00</t>
  </si>
  <si>
    <t>136,350</t>
  </si>
  <si>
    <t>123,900</t>
  </si>
  <si>
    <t>260,250</t>
  </si>
  <si>
    <t>130,250</t>
  </si>
  <si>
    <t>6350,00</t>
  </si>
  <si>
    <t>0.00</t>
  </si>
  <si>
    <t>150.000</t>
  </si>
  <si>
    <t>Year0</t>
  </si>
  <si>
    <t>Year1</t>
  </si>
  <si>
    <t>Year2</t>
  </si>
  <si>
    <t xml:space="preserve">Total </t>
  </si>
  <si>
    <t>300,000</t>
  </si>
  <si>
    <t>170,000</t>
  </si>
  <si>
    <t>130,330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</si>
</sst>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2"/>
      <name val="New York"/>
    </font>
    <font>
      <b/>
      <sz val="18"/>
      <name val="Arial"/>
      <family val="2"/>
    </font>
    <font>
      <b/>
      <sz val="12"/>
      <name val="Arial"/>
      <family val="2"/>
    </font>
    <font>
      <b/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67" fontId="0" fillId="0" borderId="0" xfId="0" applyNumberFormat="1"/>
    <xf numFmtId="0" fontId="2" fillId="0" borderId="0" xfId="0" applyFont="1"/>
    <xf numFmtId="167" fontId="2" fillId="0" borderId="0" xfId="1" applyNumberFormat="1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9" fontId="2" fillId="0" borderId="0" xfId="3" applyFont="1"/>
    <xf numFmtId="9" fontId="2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0" fontId="6" fillId="0" borderId="0" xfId="0" applyNumberFormat="1" applyFont="1"/>
    <xf numFmtId="37" fontId="6" fillId="0" borderId="0" xfId="1" applyNumberFormat="1" applyFont="1"/>
    <xf numFmtId="3" fontId="6" fillId="0" borderId="0" xfId="0" applyNumberFormat="1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6" fillId="0" borderId="0" xfId="2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37" fontId="6" fillId="0" borderId="0" xfId="1" applyNumberFormat="1" applyFont="1" applyAlignment="1">
      <alignment horizontal="left"/>
    </xf>
    <xf numFmtId="0" fontId="2" fillId="0" borderId="0" xfId="1" applyNumberFormat="1" applyFon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center"/>
    </xf>
  </cellXfs>
  <cellStyles count="4">
    <cellStyle name="عادي" xfId="0" builtinId="0"/>
    <cellStyle name="Comma" xfId="1" builtinId="3"/>
    <cellStyle name="Currency" xfId="2" builtinId="4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16</xdr:row>
      <xdr:rowOff>85725</xdr:rowOff>
    </xdr:from>
    <xdr:to>
      <xdr:col>5</xdr:col>
      <xdr:colOff>276225</xdr:colOff>
      <xdr:row>16</xdr:row>
      <xdr:rowOff>85725</xdr:rowOff>
    </xdr:to>
    <xdr:sp macro="" textlink="">
      <xdr:nvSpPr>
        <xdr:cNvPr id="1044" name="Line 2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ShapeType="1"/>
        </xdr:cNvSpPr>
      </xdr:nvSpPr>
      <xdr:spPr bwMode="auto">
        <a:xfrm flipH="1">
          <a:off x="5591175" y="31623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352425</xdr:colOff>
      <xdr:row>18</xdr:row>
      <xdr:rowOff>38100</xdr:rowOff>
    </xdr:from>
    <xdr:to>
      <xdr:col>2</xdr:col>
      <xdr:colOff>352425</xdr:colOff>
      <xdr:row>20</xdr:row>
      <xdr:rowOff>0</xdr:rowOff>
    </xdr:to>
    <xdr:sp macro="" textlink="">
      <xdr:nvSpPr>
        <xdr:cNvPr id="1045" name="Line 3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ShapeType="1"/>
        </xdr:cNvSpPr>
      </xdr:nvSpPr>
      <xdr:spPr bwMode="auto">
        <a:xfrm flipV="1">
          <a:off x="3590925" y="3438525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352425</xdr:colOff>
      <xdr:row>19</xdr:row>
      <xdr:rowOff>85725</xdr:rowOff>
    </xdr:from>
    <xdr:to>
      <xdr:col>0</xdr:col>
      <xdr:colOff>2371725</xdr:colOff>
      <xdr:row>19</xdr:row>
      <xdr:rowOff>85725</xdr:rowOff>
    </xdr:to>
    <xdr:sp macro="" textlink="">
      <xdr:nvSpPr>
        <xdr:cNvPr id="1046" name="Line 4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ShapeType="1"/>
        </xdr:cNvSpPr>
      </xdr:nvSpPr>
      <xdr:spPr bwMode="auto">
        <a:xfrm>
          <a:off x="352425" y="3648075"/>
          <a:ext cx="2019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workbookViewId="0">
      <selection activeCell="A22" sqref="A22"/>
    </sheetView>
  </sheetViews>
  <sheetFormatPr defaultRowHeight="12.75" x14ac:dyDescent="0.15"/>
  <cols>
    <col min="1" max="1" width="37.08203125" bestFit="1" customWidth="1"/>
    <col min="2" max="2" width="11.4609375" bestFit="1" customWidth="1"/>
    <col min="3" max="3" width="11.4609375" customWidth="1"/>
    <col min="4" max="4" width="12.5390625" customWidth="1"/>
    <col min="5" max="5" width="13.34765625" customWidth="1"/>
  </cols>
  <sheetData>
    <row r="1" spans="1:6" ht="22.5" x14ac:dyDescent="0.25">
      <c r="A1" s="32" t="s">
        <v>15</v>
      </c>
      <c r="B1" s="32"/>
      <c r="C1" s="32"/>
      <c r="D1" s="32"/>
      <c r="E1" s="32"/>
      <c r="F1" s="32"/>
    </row>
    <row r="2" spans="1:6" ht="22.5" x14ac:dyDescent="0.25">
      <c r="A2" s="11" t="s">
        <v>16</v>
      </c>
      <c r="B2" s="11"/>
      <c r="C2" s="11" t="s">
        <v>17</v>
      </c>
      <c r="D2" s="10"/>
      <c r="E2" s="10"/>
      <c r="F2" s="10"/>
    </row>
    <row r="3" spans="1:6" ht="30" customHeight="1" x14ac:dyDescent="0.15">
      <c r="A3" s="31" t="s">
        <v>19</v>
      </c>
      <c r="B3" s="31"/>
      <c r="C3" s="31"/>
      <c r="D3" s="31"/>
      <c r="E3" s="31"/>
      <c r="F3" s="31"/>
    </row>
    <row r="4" spans="1:6" x14ac:dyDescent="0.15">
      <c r="A4" s="9"/>
      <c r="B4" s="9"/>
      <c r="C4" s="9"/>
      <c r="D4" s="9"/>
      <c r="E4" s="9"/>
      <c r="F4" s="9"/>
    </row>
    <row r="5" spans="1:6" x14ac:dyDescent="0.15">
      <c r="A5" s="2" t="s">
        <v>0</v>
      </c>
      <c r="B5" s="12">
        <v>0.1</v>
      </c>
    </row>
    <row r="6" spans="1:6" x14ac:dyDescent="0.15">
      <c r="A6" s="2"/>
      <c r="B6" s="7"/>
    </row>
    <row r="7" spans="1:6" x14ac:dyDescent="0.15">
      <c r="A7" t="s">
        <v>12</v>
      </c>
      <c r="D7" s="2" t="s">
        <v>8</v>
      </c>
      <c r="E7" s="2"/>
    </row>
    <row r="8" spans="1:6" x14ac:dyDescent="0.15">
      <c r="B8" s="22">
        <v>0</v>
      </c>
      <c r="C8" s="24">
        <v>1</v>
      </c>
      <c r="D8" s="24">
        <v>2</v>
      </c>
      <c r="E8" s="2" t="s">
        <v>10</v>
      </c>
    </row>
    <row r="9" spans="1:6" x14ac:dyDescent="0.15">
      <c r="A9" t="s">
        <v>1</v>
      </c>
      <c r="B9" s="14" t="s">
        <v>26</v>
      </c>
      <c r="C9" s="23">
        <v>0</v>
      </c>
      <c r="D9" s="23">
        <v>0</v>
      </c>
      <c r="E9" t="s">
        <v>26</v>
      </c>
    </row>
    <row r="10" spans="1:6" x14ac:dyDescent="0.15">
      <c r="A10" t="s">
        <v>2</v>
      </c>
      <c r="B10" s="25">
        <f>ROUND(1/(1+$B$5)^B$8,2)</f>
        <v>1</v>
      </c>
      <c r="C10" s="8" t="s">
        <v>28</v>
      </c>
      <c r="D10" s="8" t="s">
        <v>29</v>
      </c>
    </row>
    <row r="11" spans="1:6" x14ac:dyDescent="0.15">
      <c r="A11" s="2" t="s">
        <v>3</v>
      </c>
      <c r="B11" s="3" t="s">
        <v>26</v>
      </c>
      <c r="C11" s="3" t="s">
        <v>31</v>
      </c>
      <c r="D11" s="3" t="s">
        <v>31</v>
      </c>
      <c r="E11" s="4" t="s">
        <v>26</v>
      </c>
    </row>
    <row r="13" spans="1:6" x14ac:dyDescent="0.15">
      <c r="A13" t="s">
        <v>4</v>
      </c>
      <c r="B13" s="26">
        <v>0</v>
      </c>
      <c r="C13" s="13" t="s">
        <v>27</v>
      </c>
      <c r="D13" s="13" t="s">
        <v>27</v>
      </c>
      <c r="E13" t="s">
        <v>26</v>
      </c>
    </row>
    <row r="14" spans="1:6" x14ac:dyDescent="0.15">
      <c r="A14" t="s">
        <v>2</v>
      </c>
      <c r="B14" s="25">
        <f>ROUND(1/(1+$B$5)^B$8,2)</f>
        <v>1</v>
      </c>
      <c r="C14" s="8" t="s">
        <v>28</v>
      </c>
      <c r="D14" s="8" t="s">
        <v>29</v>
      </c>
    </row>
    <row r="15" spans="1:6" x14ac:dyDescent="0.15">
      <c r="A15" s="2" t="s">
        <v>5</v>
      </c>
      <c r="B15" s="27">
        <v>0</v>
      </c>
      <c r="C15" s="3" t="s">
        <v>32</v>
      </c>
      <c r="D15" s="3" t="s">
        <v>33</v>
      </c>
      <c r="E15" s="3" t="s">
        <v>34</v>
      </c>
    </row>
    <row r="17" spans="1:6" x14ac:dyDescent="0.15">
      <c r="A17" t="s">
        <v>6</v>
      </c>
      <c r="B17" s="1" t="s">
        <v>30</v>
      </c>
      <c r="C17" s="28" t="s">
        <v>32</v>
      </c>
      <c r="D17" s="1" t="s">
        <v>33</v>
      </c>
      <c r="E17" s="4" t="s">
        <v>35</v>
      </c>
      <c r="F17" s="5" t="s">
        <v>9</v>
      </c>
    </row>
    <row r="18" spans="1:6" x14ac:dyDescent="0.15">
      <c r="A18" t="s">
        <v>7</v>
      </c>
      <c r="B18" s="1" t="str">
        <f>B17</f>
        <v>(130,000)</v>
      </c>
      <c r="C18" s="28" t="s">
        <v>36</v>
      </c>
      <c r="D18" s="1" t="s">
        <v>35</v>
      </c>
      <c r="E18" s="29">
        <v>6600</v>
      </c>
    </row>
    <row r="20" spans="1:6" x14ac:dyDescent="0.15">
      <c r="A20" s="2" t="s">
        <v>11</v>
      </c>
      <c r="B20" s="6">
        <v>1</v>
      </c>
    </row>
    <row r="21" spans="1:6" x14ac:dyDescent="0.15">
      <c r="B21" s="30" t="s">
        <v>18</v>
      </c>
      <c r="C21" s="30"/>
      <c r="D21" s="30"/>
    </row>
    <row r="22" spans="1:6" x14ac:dyDescent="0.15">
      <c r="A22" s="2" t="s">
        <v>13</v>
      </c>
    </row>
    <row r="23" spans="1:6" x14ac:dyDescent="0.15">
      <c r="A23" t="s">
        <v>14</v>
      </c>
    </row>
  </sheetData>
  <mergeCells count="3">
    <mergeCell ref="B21:D21"/>
    <mergeCell ref="A3:F3"/>
    <mergeCell ref="A1:F1"/>
  </mergeCells>
  <phoneticPr fontId="0" type="noConversion"/>
  <printOptions gridLines="1"/>
  <pageMargins left="0.75" right="0.75" top="1" bottom="1" header="0.5" footer="0.5"/>
  <pageSetup scale="95"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C7" sqref="C7"/>
    </sheetView>
  </sheetViews>
  <sheetFormatPr defaultRowHeight="12.75" x14ac:dyDescent="0.15"/>
  <cols>
    <col min="2" max="2" width="11.4609375" bestFit="1" customWidth="1"/>
    <col min="3" max="5" width="9.16796875" bestFit="1" customWidth="1"/>
  </cols>
  <sheetData>
    <row r="1" spans="1:5" x14ac:dyDescent="0.15">
      <c r="A1" s="15" t="s">
        <v>20</v>
      </c>
      <c r="B1" s="18">
        <v>0.1</v>
      </c>
    </row>
    <row r="3" spans="1:5" x14ac:dyDescent="0.15">
      <c r="A3" s="19" t="s">
        <v>21</v>
      </c>
      <c r="B3" s="19" t="s">
        <v>39</v>
      </c>
      <c r="C3" s="19" t="s">
        <v>40</v>
      </c>
      <c r="D3" s="19" t="s">
        <v>41</v>
      </c>
      <c r="E3" s="19" t="s">
        <v>42</v>
      </c>
    </row>
    <row r="4" spans="1:5" x14ac:dyDescent="0.15">
      <c r="A4" s="20" t="s">
        <v>22</v>
      </c>
      <c r="B4" s="17" t="s">
        <v>37</v>
      </c>
      <c r="C4" s="17" t="s">
        <v>38</v>
      </c>
      <c r="D4" s="17" t="s">
        <v>38</v>
      </c>
      <c r="E4" s="17" t="s">
        <v>43</v>
      </c>
    </row>
    <row r="5" spans="1:5" x14ac:dyDescent="0.15">
      <c r="A5" s="20" t="s">
        <v>23</v>
      </c>
      <c r="B5" s="17" t="s">
        <v>26</v>
      </c>
      <c r="C5" s="17" t="s">
        <v>31</v>
      </c>
      <c r="D5" s="17" t="s">
        <v>31</v>
      </c>
      <c r="E5" s="17" t="s">
        <v>26</v>
      </c>
    </row>
    <row r="6" spans="1:5" x14ac:dyDescent="0.15">
      <c r="A6" s="20" t="s">
        <v>24</v>
      </c>
      <c r="B6" s="17" t="s">
        <v>30</v>
      </c>
      <c r="C6" s="17" t="s">
        <v>27</v>
      </c>
      <c r="D6" s="17" t="s">
        <v>27</v>
      </c>
      <c r="E6" s="17" t="s">
        <v>44</v>
      </c>
    </row>
    <row r="7" spans="1:5" x14ac:dyDescent="0.15">
      <c r="A7" s="20" t="s">
        <v>25</v>
      </c>
      <c r="B7" s="21" t="s">
        <v>45</v>
      </c>
      <c r="C7" s="16"/>
      <c r="D7" s="16"/>
      <c r="E7" s="16"/>
    </row>
    <row r="8" spans="1:5" x14ac:dyDescent="0.15">
      <c r="A8" s="16"/>
      <c r="B8" s="16"/>
      <c r="C8" s="16"/>
      <c r="D8" s="16"/>
      <c r="E8" s="1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1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91684B4F51014982BED21342ACE24F" ma:contentTypeVersion="12" ma:contentTypeDescription="Create a new document." ma:contentTypeScope="" ma:versionID="a6d97c19bf0848d1afa7cfd1ece83864">
  <xsd:schema xmlns:xsd="http://www.w3.org/2001/XMLSchema" xmlns:xs="http://www.w3.org/2001/XMLSchema" xmlns:p="http://schemas.microsoft.com/office/2006/metadata/properties" xmlns:ns2="d55b910c-306d-4260-bef9-52053e20f3ad" xmlns:ns3="9c7ea19a-b04b-43f3-b15e-cde561b15e5b" targetNamespace="http://schemas.microsoft.com/office/2006/metadata/properties" ma:root="true" ma:fieldsID="c0bbd26d2dc288229e6760ed0810afc6" ns2:_="" ns3:_="">
    <xsd:import namespace="d55b910c-306d-4260-bef9-52053e20f3ad"/>
    <xsd:import namespace="9c7ea19a-b04b-43f3-b15e-cde561b15e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5b910c-306d-4260-bef9-52053e20f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ea19a-b04b-43f3-b15e-cde561b15e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756535-7316-460C-AC6A-502A363761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55b910c-306d-4260-bef9-52053e20f3ad"/>
    <ds:schemaRef ds:uri="9c7ea19a-b04b-43f3-b15e-cde561b15e5b"/>
  </ds:schemaRefs>
</ds:datastoreItem>
</file>

<file path=customXml/itemProps2.xml><?xml version="1.0" encoding="utf-8"?>
<ds:datastoreItem xmlns:ds="http://schemas.openxmlformats.org/officeDocument/2006/customXml" ds:itemID="{DA87C265-45E8-4A4A-BE82-69C188F666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3D639F-81FA-4A69-86E7-DE0CBC9DB76D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Augsburg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Department</dc:creator>
  <cp:lastModifiedBy>ryan</cp:lastModifiedBy>
  <cp:lastPrinted>2005-03-27T16:41:45Z</cp:lastPrinted>
  <dcterms:created xsi:type="dcterms:W3CDTF">2003-02-20T16:30:31Z</dcterms:created>
  <dcterms:modified xsi:type="dcterms:W3CDTF">2021-09-13T06:26:33Z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0x0101007D91684B4F51014982BED21342ACE24F</vt:lpwstr>
  </property>
</Properties>
</file>