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osa/Downloads/"/>
    </mc:Choice>
  </mc:AlternateContent>
  <xr:revisionPtr revIDLastSave="0" documentId="8_{54CD09FF-8813-7D4D-8073-7B1DD3D906CB}" xr6:coauthVersionLast="47" xr6:coauthVersionMax="47" xr10:uidLastSave="{00000000-0000-0000-0000-000000000000}"/>
  <bookViews>
    <workbookView xWindow="0" yWindow="0" windowWidth="28800" windowHeight="18000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2" l="1"/>
  <c r="D9" i="2"/>
  <c r="D8" i="2"/>
  <c r="D11" i="2" s="1"/>
  <c r="D13" i="2" s="1"/>
  <c r="D3" i="2"/>
  <c r="D4" i="2" s="1"/>
  <c r="D2" i="2"/>
</calcChain>
</file>

<file path=xl/sharedStrings.xml><?xml version="1.0" encoding="utf-8"?>
<sst xmlns="http://schemas.openxmlformats.org/spreadsheetml/2006/main" count="78" uniqueCount="77">
  <si>
    <t>WBS Items</t>
  </si>
  <si>
    <t># Units/Hrs.</t>
  </si>
  <si>
    <t>Cost/Unit/Hr. (USD)</t>
  </si>
  <si>
    <t>Subtotals (USD)</t>
  </si>
  <si>
    <t>% of Total</t>
  </si>
  <si>
    <t>1. Project Management</t>
  </si>
  <si>
    <t>1.1 Project Manager</t>
  </si>
  <si>
    <t>1.2 Planning &amp; Coordination Tools (Jira/MS Project)</t>
  </si>
  <si>
    <t>2. UI/UX Design</t>
  </si>
  <si>
    <t>2.1 Bilingual UI Designer</t>
  </si>
  <si>
    <t>2.2 Design Software Licenses (Figma Pro)</t>
  </si>
  <si>
    <t>3. Development</t>
  </si>
  <si>
    <t>3.1 Frontend Developer (iOS/Android Hybrid)</t>
  </si>
  <si>
    <t>3.2 Backend Developer (APIs + Admin Panel)</t>
  </si>
  <si>
    <t>3.3 Third-Party Services (e.g., Maps API, Calendar API)</t>
  </si>
  <si>
    <t>4. Infrastructure</t>
  </si>
  <si>
    <t>4.1 AWS Cloud Hosting + Storage</t>
  </si>
  <si>
    <t>4.2 Domain &amp; SSL</t>
  </si>
  <si>
    <t>5. Testing &amp; QA</t>
  </si>
  <si>
    <t>5.1 QA Engineer (manual testing)</t>
  </si>
  <si>
    <t>5.2 Device Testing Access</t>
  </si>
  <si>
    <t>6. Marketing &amp; Support</t>
  </si>
  <si>
    <t>6.1 Launch Campaign</t>
  </si>
  <si>
    <t>6.2 User Support/Helpdesk Setup</t>
  </si>
  <si>
    <t>7. Contingency (14.96%)</t>
  </si>
  <si>
    <t>Total Estimated Cost</t>
  </si>
  <si>
    <t>14%</t>
  </si>
  <si>
    <t>7%</t>
  </si>
  <si>
    <t>48%</t>
  </si>
  <si>
    <t>1%</t>
  </si>
  <si>
    <t>8%</t>
  </si>
  <si>
    <t>3%</t>
  </si>
  <si>
    <t>15%</t>
  </si>
  <si>
    <t>100%</t>
  </si>
  <si>
    <t>* Software development</t>
  </si>
  <si>
    <t>Cost/ units /Hr</t>
  </si>
  <si>
    <t xml:space="preserve">Subtotal </t>
  </si>
  <si>
    <t xml:space="preserve">Calculations </t>
  </si>
  <si>
    <t xml:space="preserve">    Contractor labor estimate</t>
  </si>
  <si>
    <t>800*$70</t>
  </si>
  <si>
    <t xml:space="preserve">    Project team member estimate</t>
  </si>
  <si>
    <t>600*65</t>
  </si>
  <si>
    <t xml:space="preserve">         Total labor estimate</t>
  </si>
  <si>
    <t xml:space="preserve">Sum above </t>
  </si>
  <si>
    <t xml:space="preserve">     Function point estimate</t>
  </si>
  <si>
    <t>Quantity</t>
  </si>
  <si>
    <t>Conversion Factor</t>
  </si>
  <si>
    <t>Function Points</t>
  </si>
  <si>
    <t xml:space="preserve">     External inputs</t>
  </si>
  <si>
    <t>4*4</t>
  </si>
  <si>
    <t xml:space="preserve">     External interface files</t>
  </si>
  <si>
    <t>3*6</t>
  </si>
  <si>
    <t xml:space="preserve">     External outputs</t>
  </si>
  <si>
    <t>3*5</t>
  </si>
  <si>
    <t xml:space="preserve">     External queries</t>
  </si>
  <si>
    <t>2*3</t>
  </si>
  <si>
    <t xml:space="preserve">     Logical internal tables</t>
  </si>
  <si>
    <t>5*8</t>
  </si>
  <si>
    <t xml:space="preserve">          Total function points</t>
  </si>
  <si>
    <t xml:space="preserve">          Java 2 languange equivalency </t>
  </si>
  <si>
    <t xml:space="preserve">Assume reference </t>
  </si>
  <si>
    <t xml:space="preserve">          Source lines of code (SLOC) estimate</t>
  </si>
  <si>
    <t>95*46</t>
  </si>
  <si>
    <t xml:space="preserve">          Productivity *KSLOC^Penalty (person months)</t>
  </si>
  <si>
    <t>28.3</t>
  </si>
  <si>
    <t xml:space="preserve">See reference </t>
  </si>
  <si>
    <t xml:space="preserve">          Total labor hours (160 hours/month)</t>
  </si>
  <si>
    <t>160*28.3</t>
  </si>
  <si>
    <t xml:space="preserve">          Cost/labor hour </t>
  </si>
  <si>
    <t>7.72</t>
  </si>
  <si>
    <t>130,000$/16,830</t>
  </si>
  <si>
    <t xml:space="preserve">          Total software development estimate</t>
  </si>
  <si>
    <t>130,000$</t>
  </si>
  <si>
    <t xml:space="preserve">Based on adjusted budget cap </t>
  </si>
  <si>
    <t>WBS Level 1 Totals (USD)</t>
  </si>
  <si>
    <t>#Units/Hrs</t>
  </si>
  <si>
    <t xml:space="preserve">Eventure Jeddah Project Estimate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</si>
</sst>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&quot;$&quot;#,##0_);[Red]\(&quot;$&quot;#,##0\)"/>
    <numFmt numFmtId="165" formatCode="_(* #,##0_);_(* \(#,##0\);_(* &quot;-&quot;??_);_(@_)"/>
    <numFmt numFmtId="166" formatCode="&quot;$&quot;#,##0.0_);[Red]\(&quot;$&quot;#,##0.0\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21">
    <xf numFmtId="0" fontId="0" fillId="0" borderId="0" xfId="0"/>
    <xf numFmtId="0" fontId="2" fillId="0" borderId="0" xfId="1" applyFont="1"/>
    <xf numFmtId="0" fontId="1" fillId="0" borderId="0" xfId="1"/>
    <xf numFmtId="0" fontId="3" fillId="0" borderId="0" xfId="1" applyFont="1"/>
    <xf numFmtId="0" fontId="4" fillId="0" borderId="1" xfId="0" applyFont="1" applyBorder="1" applyAlignment="1">
      <alignment horizontal="center" vertical="top"/>
    </xf>
    <xf numFmtId="0" fontId="5" fillId="0" borderId="0" xfId="0" applyFont="1"/>
    <xf numFmtId="0" fontId="5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indent="1"/>
    </xf>
    <xf numFmtId="0" fontId="3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  <xf numFmtId="43" fontId="2" fillId="0" borderId="0" xfId="1" applyNumberFormat="1" applyFont="1" applyAlignment="1">
      <alignment horizontal="center" vertical="center"/>
    </xf>
    <xf numFmtId="164" fontId="2" fillId="0" borderId="0" xfId="1" applyNumberFormat="1" applyFont="1" applyAlignment="1">
      <alignment horizontal="center" vertical="center"/>
    </xf>
    <xf numFmtId="165" fontId="2" fillId="0" borderId="0" xfId="2" applyNumberFormat="1" applyFont="1" applyAlignment="1">
      <alignment horizontal="center" vertical="center"/>
    </xf>
    <xf numFmtId="0" fontId="1" fillId="0" borderId="0" xfId="1" applyAlignment="1">
      <alignment horizontal="center" vertical="center"/>
    </xf>
    <xf numFmtId="0" fontId="3" fillId="0" borderId="0" xfId="1" applyFont="1" applyAlignment="1">
      <alignment horizontal="center"/>
    </xf>
    <xf numFmtId="164" fontId="2" fillId="0" borderId="0" xfId="1" applyNumberFormat="1" applyFont="1" applyAlignment="1">
      <alignment horizontal="center"/>
    </xf>
    <xf numFmtId="0" fontId="2" fillId="0" borderId="0" xfId="1" applyFont="1" applyAlignment="1">
      <alignment horizontal="center"/>
    </xf>
    <xf numFmtId="0" fontId="1" fillId="0" borderId="0" xfId="1" applyAlignment="1">
      <alignment horizontal="center"/>
    </xf>
    <xf numFmtId="166" fontId="2" fillId="0" borderId="0" xfId="1" applyNumberFormat="1" applyFont="1" applyAlignment="1">
      <alignment horizontal="center"/>
    </xf>
    <xf numFmtId="0" fontId="6" fillId="0" borderId="0" xfId="0" applyFont="1" applyAlignment="1">
      <alignment horizontal="center"/>
    </xf>
  </cellXfs>
  <cellStyles count="3">
    <cellStyle name="Comma 2" xfId="2" xr:uid="{00F885DA-CC9B-AB44-A98E-2DB93A6CBA7D}"/>
    <cellStyle name="Normal" xfId="0" builtinId="0"/>
    <cellStyle name="Normal 2" xfId="1" xr:uid="{2CA68117-6A63-7C47-9CD8-F3FA8BCA7164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zoomScale="150" workbookViewId="0">
      <selection activeCell="I3" sqref="I3"/>
    </sheetView>
  </sheetViews>
  <sheetFormatPr baseColWidth="10" defaultColWidth="8.83203125" defaultRowHeight="15" x14ac:dyDescent="0.2"/>
  <cols>
    <col min="1" max="1" width="46.33203125" style="5" customWidth="1"/>
    <col min="2" max="2" width="15.1640625" style="6" customWidth="1"/>
    <col min="3" max="3" width="16.83203125" style="6" customWidth="1"/>
    <col min="4" max="4" width="17.1640625" style="6" customWidth="1"/>
    <col min="5" max="5" width="22.1640625" style="6" customWidth="1"/>
    <col min="6" max="6" width="10.6640625" style="6" customWidth="1"/>
  </cols>
  <sheetData>
    <row r="1" spans="1:6" ht="16" x14ac:dyDescent="0.2">
      <c r="A1" s="20" t="s">
        <v>76</v>
      </c>
    </row>
    <row r="2" spans="1:6" x14ac:dyDescent="0.2">
      <c r="A2" s="4" t="s">
        <v>0</v>
      </c>
      <c r="B2" s="4" t="s">
        <v>1</v>
      </c>
      <c r="C2" s="4" t="s">
        <v>2</v>
      </c>
      <c r="D2" s="4" t="s">
        <v>3</v>
      </c>
      <c r="E2" s="4" t="s">
        <v>74</v>
      </c>
      <c r="F2" s="4" t="s">
        <v>4</v>
      </c>
    </row>
    <row r="3" spans="1:6" x14ac:dyDescent="0.2">
      <c r="A3" s="7" t="s">
        <v>5</v>
      </c>
      <c r="E3" s="6">
        <v>18600</v>
      </c>
      <c r="F3" s="6" t="s">
        <v>26</v>
      </c>
    </row>
    <row r="4" spans="1:6" x14ac:dyDescent="0.2">
      <c r="A4" s="8" t="s">
        <v>6</v>
      </c>
      <c r="B4" s="6">
        <v>240</v>
      </c>
      <c r="C4" s="6">
        <v>70</v>
      </c>
      <c r="D4" s="6">
        <v>16800</v>
      </c>
    </row>
    <row r="5" spans="1:6" x14ac:dyDescent="0.2">
      <c r="A5" s="8" t="s">
        <v>7</v>
      </c>
      <c r="B5" s="6">
        <v>3</v>
      </c>
      <c r="C5" s="6">
        <v>200</v>
      </c>
      <c r="D5" s="6">
        <v>600</v>
      </c>
    </row>
    <row r="6" spans="1:6" x14ac:dyDescent="0.2">
      <c r="A6" s="7" t="s">
        <v>8</v>
      </c>
      <c r="E6" s="6">
        <v>9300</v>
      </c>
      <c r="F6" s="6" t="s">
        <v>27</v>
      </c>
    </row>
    <row r="7" spans="1:6" x14ac:dyDescent="0.2">
      <c r="A7" s="8" t="s">
        <v>9</v>
      </c>
      <c r="B7" s="6">
        <v>180</v>
      </c>
      <c r="C7" s="6">
        <v>50</v>
      </c>
      <c r="D7" s="6">
        <v>9000</v>
      </c>
    </row>
    <row r="8" spans="1:6" x14ac:dyDescent="0.2">
      <c r="A8" s="8" t="s">
        <v>10</v>
      </c>
      <c r="B8" s="6">
        <v>1</v>
      </c>
      <c r="C8" s="6">
        <v>300</v>
      </c>
      <c r="D8" s="6">
        <v>300</v>
      </c>
    </row>
    <row r="9" spans="1:6" x14ac:dyDescent="0.2">
      <c r="A9" s="7" t="s">
        <v>11</v>
      </c>
      <c r="E9" s="6">
        <v>62700</v>
      </c>
      <c r="F9" s="6" t="s">
        <v>28</v>
      </c>
    </row>
    <row r="10" spans="1:6" x14ac:dyDescent="0.2">
      <c r="A10" s="8" t="s">
        <v>12</v>
      </c>
      <c r="B10" s="6">
        <v>400</v>
      </c>
      <c r="C10" s="6">
        <v>60</v>
      </c>
      <c r="D10" s="6">
        <v>24000</v>
      </c>
    </row>
    <row r="11" spans="1:6" x14ac:dyDescent="0.2">
      <c r="A11" s="8" t="s">
        <v>13</v>
      </c>
      <c r="B11" s="6">
        <v>400</v>
      </c>
      <c r="C11" s="6">
        <v>75</v>
      </c>
      <c r="D11" s="6">
        <v>30000</v>
      </c>
    </row>
    <row r="12" spans="1:6" x14ac:dyDescent="0.2">
      <c r="A12" s="8" t="s">
        <v>14</v>
      </c>
      <c r="B12" s="6">
        <v>1</v>
      </c>
      <c r="C12" s="6">
        <v>600</v>
      </c>
      <c r="D12" s="6">
        <v>600</v>
      </c>
    </row>
    <row r="13" spans="1:6" x14ac:dyDescent="0.2">
      <c r="A13" s="7" t="s">
        <v>15</v>
      </c>
      <c r="E13" s="6">
        <v>1350</v>
      </c>
      <c r="F13" s="6" t="s">
        <v>29</v>
      </c>
    </row>
    <row r="14" spans="1:6" x14ac:dyDescent="0.2">
      <c r="A14" s="8" t="s">
        <v>16</v>
      </c>
      <c r="B14" s="6">
        <v>6</v>
      </c>
      <c r="C14" s="6">
        <v>200</v>
      </c>
      <c r="D14" s="6">
        <v>1200</v>
      </c>
    </row>
    <row r="15" spans="1:6" x14ac:dyDescent="0.2">
      <c r="A15" s="8" t="s">
        <v>17</v>
      </c>
      <c r="B15" s="6">
        <v>1</v>
      </c>
      <c r="C15" s="6">
        <v>150</v>
      </c>
      <c r="D15" s="6">
        <v>150</v>
      </c>
    </row>
    <row r="16" spans="1:6" x14ac:dyDescent="0.2">
      <c r="A16" s="7" t="s">
        <v>18</v>
      </c>
      <c r="E16" s="6">
        <v>10175</v>
      </c>
      <c r="F16" s="6" t="s">
        <v>30</v>
      </c>
    </row>
    <row r="17" spans="1:6" x14ac:dyDescent="0.2">
      <c r="A17" s="8" t="s">
        <v>19</v>
      </c>
      <c r="B17" s="6">
        <v>150</v>
      </c>
      <c r="C17" s="6">
        <v>45</v>
      </c>
      <c r="D17" s="6">
        <v>6750</v>
      </c>
    </row>
    <row r="18" spans="1:6" x14ac:dyDescent="0.2">
      <c r="A18" s="8" t="s">
        <v>20</v>
      </c>
      <c r="B18" s="6">
        <v>1</v>
      </c>
      <c r="C18" s="6">
        <v>800</v>
      </c>
      <c r="D18" s="6">
        <v>800</v>
      </c>
    </row>
    <row r="19" spans="1:6" x14ac:dyDescent="0.2">
      <c r="A19" s="7" t="s">
        <v>21</v>
      </c>
      <c r="E19" s="6">
        <v>3500</v>
      </c>
      <c r="F19" s="6" t="s">
        <v>31</v>
      </c>
    </row>
    <row r="20" spans="1:6" x14ac:dyDescent="0.2">
      <c r="A20" s="8" t="s">
        <v>22</v>
      </c>
      <c r="B20" s="6">
        <v>1</v>
      </c>
      <c r="C20" s="6">
        <v>2500</v>
      </c>
      <c r="D20" s="6">
        <v>2500</v>
      </c>
    </row>
    <row r="21" spans="1:6" x14ac:dyDescent="0.2">
      <c r="A21" s="8" t="s">
        <v>23</v>
      </c>
      <c r="B21" s="6">
        <v>1</v>
      </c>
      <c r="C21" s="6">
        <v>1000</v>
      </c>
      <c r="D21" s="6">
        <v>1000</v>
      </c>
    </row>
    <row r="22" spans="1:6" x14ac:dyDescent="0.2">
      <c r="A22" s="7" t="s">
        <v>24</v>
      </c>
      <c r="E22" s="6">
        <v>37300</v>
      </c>
      <c r="F22" s="6" t="s">
        <v>32</v>
      </c>
    </row>
    <row r="23" spans="1:6" x14ac:dyDescent="0.2">
      <c r="A23" s="7" t="s">
        <v>25</v>
      </c>
      <c r="D23" s="6">
        <v>37300</v>
      </c>
      <c r="E23" s="6">
        <v>130000</v>
      </c>
      <c r="F23" s="6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1F932-0418-B243-BC26-B6CA3DE4C8D8}">
  <dimension ref="A1:E17"/>
  <sheetViews>
    <sheetView tabSelected="1" workbookViewId="0">
      <selection activeCell="E3" sqref="E3"/>
    </sheetView>
  </sheetViews>
  <sheetFormatPr baseColWidth="10" defaultColWidth="8.83203125" defaultRowHeight="16" x14ac:dyDescent="0.2"/>
  <cols>
    <col min="1" max="1" width="49.6640625" style="2" bestFit="1" customWidth="1"/>
    <col min="2" max="2" width="10.33203125" style="14" bestFit="1" customWidth="1"/>
    <col min="3" max="3" width="17.33203125" style="18" bestFit="1" customWidth="1"/>
    <col min="4" max="4" width="14.5" style="18" bestFit="1" customWidth="1"/>
    <col min="5" max="5" width="24.33203125" style="17" customWidth="1"/>
    <col min="6" max="16384" width="8.83203125" style="2"/>
  </cols>
  <sheetData>
    <row r="1" spans="1:5" x14ac:dyDescent="0.2">
      <c r="A1" s="3" t="s">
        <v>34</v>
      </c>
      <c r="B1" s="9" t="s">
        <v>75</v>
      </c>
      <c r="C1" s="15" t="s">
        <v>35</v>
      </c>
      <c r="D1" s="15" t="s">
        <v>36</v>
      </c>
      <c r="E1" s="15" t="s">
        <v>37</v>
      </c>
    </row>
    <row r="2" spans="1:5" x14ac:dyDescent="0.2">
      <c r="A2" s="3" t="s">
        <v>38</v>
      </c>
      <c r="B2" s="10">
        <v>800</v>
      </c>
      <c r="C2" s="16">
        <v>70</v>
      </c>
      <c r="D2" s="16">
        <f>B2*C2</f>
        <v>56000</v>
      </c>
      <c r="E2" s="17" t="s">
        <v>39</v>
      </c>
    </row>
    <row r="3" spans="1:5" x14ac:dyDescent="0.2">
      <c r="A3" s="1" t="s">
        <v>40</v>
      </c>
      <c r="B3" s="10">
        <v>600</v>
      </c>
      <c r="C3" s="16">
        <v>65</v>
      </c>
      <c r="D3" s="16">
        <f>B3*C3</f>
        <v>39000</v>
      </c>
      <c r="E3" s="17" t="s">
        <v>41</v>
      </c>
    </row>
    <row r="4" spans="1:5" x14ac:dyDescent="0.2">
      <c r="A4" s="3" t="s">
        <v>42</v>
      </c>
      <c r="B4" s="10"/>
      <c r="C4" s="17"/>
      <c r="D4" s="16">
        <f>SUM(D2:D3)</f>
        <v>95000</v>
      </c>
      <c r="E4" s="17" t="s">
        <v>43</v>
      </c>
    </row>
    <row r="5" spans="1:5" x14ac:dyDescent="0.2">
      <c r="A5" s="3" t="s">
        <v>44</v>
      </c>
      <c r="B5" s="9" t="s">
        <v>45</v>
      </c>
      <c r="C5" s="15" t="s">
        <v>46</v>
      </c>
      <c r="D5" s="15" t="s">
        <v>47</v>
      </c>
    </row>
    <row r="6" spans="1:5" x14ac:dyDescent="0.2">
      <c r="A6" s="1" t="s">
        <v>48</v>
      </c>
      <c r="B6" s="10">
        <v>4</v>
      </c>
      <c r="C6" s="17">
        <v>4</v>
      </c>
      <c r="D6" s="17">
        <v>16</v>
      </c>
      <c r="E6" s="17" t="s">
        <v>49</v>
      </c>
    </row>
    <row r="7" spans="1:5" x14ac:dyDescent="0.2">
      <c r="A7" s="1" t="s">
        <v>50</v>
      </c>
      <c r="B7" s="10">
        <v>3</v>
      </c>
      <c r="C7" s="17">
        <v>6</v>
      </c>
      <c r="D7" s="17">
        <v>18</v>
      </c>
      <c r="E7" s="17" t="s">
        <v>51</v>
      </c>
    </row>
    <row r="8" spans="1:5" x14ac:dyDescent="0.2">
      <c r="A8" s="1" t="s">
        <v>52</v>
      </c>
      <c r="B8" s="10">
        <v>3</v>
      </c>
      <c r="C8" s="17">
        <v>5</v>
      </c>
      <c r="D8" s="17">
        <f>B8*C8</f>
        <v>15</v>
      </c>
      <c r="E8" s="17" t="s">
        <v>53</v>
      </c>
    </row>
    <row r="9" spans="1:5" x14ac:dyDescent="0.2">
      <c r="A9" s="1" t="s">
        <v>54</v>
      </c>
      <c r="B9" s="10">
        <v>2</v>
      </c>
      <c r="C9" s="17">
        <v>3</v>
      </c>
      <c r="D9" s="17">
        <f>B9*C9</f>
        <v>6</v>
      </c>
      <c r="E9" s="17" t="s">
        <v>55</v>
      </c>
    </row>
    <row r="10" spans="1:5" x14ac:dyDescent="0.2">
      <c r="A10" s="1" t="s">
        <v>56</v>
      </c>
      <c r="B10" s="10">
        <v>5</v>
      </c>
      <c r="C10" s="17">
        <v>8</v>
      </c>
      <c r="D10" s="17">
        <f>B10*C10</f>
        <v>40</v>
      </c>
      <c r="E10" s="17" t="s">
        <v>57</v>
      </c>
    </row>
    <row r="11" spans="1:5" x14ac:dyDescent="0.2">
      <c r="A11" s="3" t="s">
        <v>58</v>
      </c>
      <c r="B11" s="10"/>
      <c r="C11" s="17"/>
      <c r="D11" s="17">
        <f>SUM(D6:D10)</f>
        <v>95</v>
      </c>
      <c r="E11" s="17" t="s">
        <v>43</v>
      </c>
    </row>
    <row r="12" spans="1:5" x14ac:dyDescent="0.2">
      <c r="A12" s="1" t="s">
        <v>59</v>
      </c>
      <c r="B12" s="10"/>
      <c r="C12" s="17"/>
      <c r="D12" s="17">
        <v>46</v>
      </c>
      <c r="E12" s="17" t="s">
        <v>60</v>
      </c>
    </row>
    <row r="13" spans="1:5" x14ac:dyDescent="0.2">
      <c r="A13" s="1" t="s">
        <v>61</v>
      </c>
      <c r="B13" s="10"/>
      <c r="C13" s="17"/>
      <c r="D13" s="13">
        <f>D11*D12</f>
        <v>4370</v>
      </c>
      <c r="E13" s="17" t="s">
        <v>62</v>
      </c>
    </row>
    <row r="14" spans="1:5" x14ac:dyDescent="0.2">
      <c r="A14" s="1" t="s">
        <v>63</v>
      </c>
      <c r="B14" s="11"/>
      <c r="C14" s="17"/>
      <c r="D14" s="17" t="s">
        <v>64</v>
      </c>
      <c r="E14" s="17" t="s">
        <v>65</v>
      </c>
    </row>
    <row r="15" spans="1:5" x14ac:dyDescent="0.2">
      <c r="A15" s="1" t="s">
        <v>66</v>
      </c>
      <c r="B15" s="11"/>
      <c r="C15" s="17"/>
      <c r="D15" s="17">
        <v>4528</v>
      </c>
      <c r="E15" s="17" t="s">
        <v>67</v>
      </c>
    </row>
    <row r="16" spans="1:5" x14ac:dyDescent="0.2">
      <c r="A16" s="1" t="s">
        <v>68</v>
      </c>
      <c r="B16" s="12"/>
      <c r="C16" s="17"/>
      <c r="D16" s="17" t="s">
        <v>69</v>
      </c>
      <c r="E16" s="17" t="s">
        <v>70</v>
      </c>
    </row>
    <row r="17" spans="1:5" x14ac:dyDescent="0.2">
      <c r="A17" s="3" t="s">
        <v>71</v>
      </c>
      <c r="B17" s="13"/>
      <c r="C17" s="17"/>
      <c r="D17" s="19" t="s">
        <v>72</v>
      </c>
      <c r="E17" s="17" t="s">
        <v>73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Enas alqarni</cp:lastModifiedBy>
  <dcterms:created xsi:type="dcterms:W3CDTF">2025-05-01T18:46:45Z</dcterms:created>
  <dcterms:modified xsi:type="dcterms:W3CDTF">2025-05-01T22:55:09Z</dcterms:modified>
</cp:coreProperties>
</file>